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CORE" sheetId="1" r:id="rId5"/>
    <sheet state="visible" name="DANH MỤC" sheetId="2" r:id="rId6"/>
  </sheets>
  <definedNames/>
  <calcPr/>
</workbook>
</file>

<file path=xl/sharedStrings.xml><?xml version="1.0" encoding="utf-8"?>
<sst xmlns="http://schemas.openxmlformats.org/spreadsheetml/2006/main" count="90" uniqueCount="74">
  <si>
    <t>DATABASE CORE TEAM – Ý NIỆM ĐIỆN ẢNH</t>
  </si>
  <si>
    <t>BAN</t>
  </si>
  <si>
    <t>HỌ VÀ TÊN</t>
  </si>
  <si>
    <t>CHỨC VỤ</t>
  </si>
  <si>
    <t>GIỚI TÍNH</t>
  </si>
  <si>
    <t>NGÀY SINH</t>
  </si>
  <si>
    <t>NƠI SINH SỐNG</t>
  </si>
  <si>
    <t>TRƯỜNG - LỚP</t>
  </si>
  <si>
    <t>EMAIL</t>
  </si>
  <si>
    <t>SỐ ĐIỆN THOẠI</t>
  </si>
  <si>
    <t>LINK FACEBOOK</t>
  </si>
  <si>
    <t>GHI CHÚ</t>
  </si>
  <si>
    <t>BĐH</t>
  </si>
  <si>
    <t>Minh Hoàng</t>
  </si>
  <si>
    <t>Founder</t>
  </si>
  <si>
    <t>Nam</t>
  </si>
  <si>
    <t>Bảo Lộc</t>
  </si>
  <si>
    <t>Cựu học sinh THPT Lộc Phát</t>
  </si>
  <si>
    <t>hoangngminh3@gmail.com</t>
  </si>
  <si>
    <t>DANH MỤC</t>
  </si>
  <si>
    <t>Giới tính</t>
  </si>
  <si>
    <t>Chức vụ</t>
  </si>
  <si>
    <t>Nguyễn Hoàng</t>
  </si>
  <si>
    <t>Nữ</t>
  </si>
  <si>
    <t>Co-founder</t>
  </si>
  <si>
    <t>Khác</t>
  </si>
  <si>
    <t>President</t>
  </si>
  <si>
    <t>Không muốn tiết lộ</t>
  </si>
  <si>
    <t>Core HR</t>
  </si>
  <si>
    <t>Core Comms</t>
  </si>
  <si>
    <t>Core Media</t>
  </si>
  <si>
    <t>Core Nội dung</t>
  </si>
  <si>
    <t>Core Duyệt bài</t>
  </si>
  <si>
    <t>Thanh Nga</t>
  </si>
  <si>
    <t xml:space="preserve">Bắc Ninh </t>
  </si>
  <si>
    <t>THPT Lạng Giang số 2</t>
  </si>
  <si>
    <t>dongthithanhngaxg@gmail.com</t>
  </si>
  <si>
    <t>chưa có</t>
  </si>
  <si>
    <t>Đt Thanh Ngaa</t>
  </si>
  <si>
    <t>Minh Anh</t>
  </si>
  <si>
    <t>TPHCM</t>
  </si>
  <si>
    <t>THPT Vinschool Central Park</t>
  </si>
  <si>
    <t>minhanhbinhduong@gmail.com</t>
  </si>
  <si>
    <t>Minh Anh Le</t>
  </si>
  <si>
    <t>NHÂN SỰ</t>
  </si>
  <si>
    <t>Võ Thị Huyền Trang</t>
  </si>
  <si>
    <t>Đà Nẵng</t>
  </si>
  <si>
    <t>Cựu học sinh THPT Phan Châu Trinh</t>
  </si>
  <si>
    <t>vothihuyentrang072008@gmail.com</t>
  </si>
  <si>
    <t>Huyền Trang</t>
  </si>
  <si>
    <t>TRUYỀN THÔNG</t>
  </si>
  <si>
    <t>Quỳnh Giang</t>
  </si>
  <si>
    <t>Đồng Nai</t>
  </si>
  <si>
    <t>Cựu THPT Hoàng Diệu</t>
  </si>
  <si>
    <t>quynhgiang101517@gmail.com</t>
  </si>
  <si>
    <t>Quỳnhh Giang</t>
  </si>
  <si>
    <t>MEDIA</t>
  </si>
  <si>
    <t>Yến Nhi</t>
  </si>
  <si>
    <t>Long Hưng, Hưng Yên</t>
  </si>
  <si>
    <t>THPT Hưng Nhân</t>
  </si>
  <si>
    <t>nguyentranyennhi04062009@gmail.com</t>
  </si>
  <si>
    <t>Ney Nhy</t>
  </si>
  <si>
    <t>NỘI DUNG</t>
  </si>
  <si>
    <t>Hữu Bình</t>
  </si>
  <si>
    <t>Hồ Chí Minh</t>
  </si>
  <si>
    <t>Sinh viên năm 3 – UEH, Khoa Quản trị</t>
  </si>
  <si>
    <t>binhdinh081206@gmail.com</t>
  </si>
  <si>
    <t>Bình</t>
  </si>
  <si>
    <t>DUYỆT BÀI</t>
  </si>
  <si>
    <t>Ngọc Diệp</t>
  </si>
  <si>
    <t>Hà Nội</t>
  </si>
  <si>
    <t>Học sinh THPT</t>
  </si>
  <si>
    <t>ngocdiep200310@gmail.com</t>
  </si>
  <si>
    <t>Ngth Ngọc Diệ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</si>
</sst>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00000000"/>
  </numFmts>
  <fonts count="15">
    <font>
      <sz val="11.0"/>
      <color rgb="FF000000"/>
      <name val="Carlito"/>
      <scheme val="minor"/>
    </font>
    <font>
      <b/>
      <sz val="18.0"/>
      <color rgb="FFFFFFFF"/>
      <name val="Times New Roman"/>
    </font>
    <font/>
    <font>
      <b/>
      <sz val="11.0"/>
      <color rgb="FFFFFFFF"/>
      <name val="Times New Roman"/>
    </font>
    <font>
      <b/>
      <sz val="11.0"/>
      <color rgb="FF6B1F2A"/>
      <name val="Times New Roman"/>
    </font>
    <font>
      <b/>
      <sz val="10.0"/>
      <color rgb="FF111111"/>
      <name val="Times New Roman"/>
    </font>
    <font>
      <sz val="10.0"/>
      <color rgb="FF111111"/>
      <name val="Times New Roman"/>
    </font>
    <font>
      <b/>
      <sz val="15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111111"/>
      <name val="Times New Roman"/>
    </font>
    <font>
      <u/>
      <sz val="10.0"/>
      <color rgb="FF111111"/>
      <name val="Times New Roman"/>
    </font>
    <font>
      <u/>
      <sz val="10.0"/>
      <color rgb="FF11111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6B1F2A"/>
        <bgColor rgb="FF6B1F2A"/>
      </patternFill>
    </fill>
    <fill>
      <patternFill patternType="solid">
        <fgColor rgb="FFE5C5CC"/>
        <bgColor rgb="FFE5C5CC"/>
      </patternFill>
    </fill>
    <fill>
      <patternFill patternType="solid">
        <fgColor rgb="FFFBF8F2"/>
        <bgColor rgb="FFFBF8F2"/>
      </patternFill>
    </fill>
    <fill>
      <patternFill patternType="solid">
        <fgColor rgb="FFFFFFFF"/>
        <bgColor rgb="FFFFFFFF"/>
      </patternFill>
    </fill>
  </fills>
  <borders count="12">
    <border/>
    <border>
      <bottom style="medium">
        <color rgb="FFC7A76B"/>
      </bottom>
    </border>
    <border>
      <left style="thin">
        <color rgb="FFC7A76B"/>
      </left>
      <right style="thin">
        <color rgb="FFC7A76B"/>
      </right>
      <top style="thin">
        <color rgb="FFC7A76B"/>
      </top>
      <bottom style="thin">
        <color rgb="FFC7A76B"/>
      </bottom>
    </border>
    <border>
      <left style="thin">
        <color rgb="FFC7A76B"/>
      </left>
      <right style="thin">
        <color rgb="FFC7A76B"/>
      </right>
      <top style="thin">
        <color rgb="FFC7A76B"/>
      </top>
    </border>
    <border>
      <left style="thin">
        <color rgb="FFC7A76B"/>
      </left>
      <right style="thin">
        <color rgb="FFC7A76B"/>
      </right>
      <bottom style="dotted">
        <color rgb="FFC7A76B"/>
      </bottom>
    </border>
    <border>
      <left style="thin">
        <color rgb="FFC7A76B"/>
      </left>
      <right style="thin">
        <color rgb="FFC7A76B"/>
      </right>
      <top style="dotted">
        <color rgb="FFC7A76B"/>
      </top>
      <bottom style="dotted">
        <color rgb="FFC7A76B"/>
      </bottom>
    </border>
    <border>
      <bottom style="thin">
        <color rgb="FFC7A76B"/>
      </bottom>
    </border>
    <border>
      <top style="thin">
        <color rgb="FFC7A76B"/>
      </top>
      <bottom style="thin">
        <color rgb="FFC7A76B"/>
      </bottom>
    </border>
    <border>
      <top style="thin">
        <color rgb="FFC7A76B"/>
      </top>
    </border>
    <border>
      <left style="thin">
        <color rgb="FFC7A76B"/>
      </left>
      <right style="thin">
        <color rgb="FFC7A76B"/>
      </right>
    </border>
    <border>
      <left style="thin">
        <color rgb="FFC7A76B"/>
      </left>
      <right style="thin">
        <color rgb="FFC7A76B"/>
      </right>
      <top style="medium">
        <color rgb="FFFFFFFF"/>
      </top>
      <bottom style="medium">
        <color rgb="FFFFFFFF"/>
      </bottom>
    </border>
    <border>
      <left style="thin">
        <color rgb="FFC7A76B"/>
      </left>
      <right style="thin">
        <color rgb="FFC7A76B"/>
      </right>
      <top style="dotted">
        <color rgb="FFC7A76B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4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49" xfId="0" applyAlignment="1" applyBorder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0" fillId="2" fontId="8" numFmtId="0" xfId="0" applyAlignment="1" applyFont="1">
      <alignment horizontal="center"/>
    </xf>
    <xf borderId="5" fillId="4" fontId="6" numFmtId="165" xfId="0" applyAlignment="1" applyBorder="1" applyFont="1" applyNumberFormat="1">
      <alignment horizontal="center" shrinkToFit="0" vertical="center" wrapText="1"/>
    </xf>
    <xf borderId="6" fillId="4" fontId="9" numFmtId="0" xfId="0" applyBorder="1" applyFont="1"/>
    <xf borderId="7" fillId="4" fontId="9" numFmtId="0" xfId="0" applyBorder="1" applyFont="1"/>
    <xf borderId="8" fillId="4" fontId="9" numFmtId="0" xfId="0" applyBorder="1" applyFont="1"/>
    <xf borderId="4" fillId="4" fontId="10" numFmtId="49" xfId="0" applyAlignment="1" applyBorder="1" applyFont="1" applyNumberFormat="1">
      <alignment horizontal="center" readingOrder="0" shrinkToFit="0" vertical="center" wrapText="1"/>
    </xf>
    <xf borderId="9" fillId="0" fontId="2" numFmtId="0" xfId="0" applyBorder="1" applyFont="1"/>
    <xf borderId="5" fillId="4" fontId="5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readingOrder="0" vertical="center"/>
    </xf>
    <xf borderId="5" fillId="4" fontId="6" numFmtId="164" xfId="0" applyAlignment="1" applyBorder="1" applyFont="1" applyNumberFormat="1">
      <alignment horizontal="center" readingOrder="0" vertical="center"/>
    </xf>
    <xf borderId="5" fillId="4" fontId="6" numFmtId="0" xfId="0" applyAlignment="1" applyBorder="1" applyFont="1">
      <alignment horizontal="center" shrinkToFit="0" vertical="center" wrapText="1"/>
    </xf>
    <xf borderId="5" fillId="4" fontId="6" numFmtId="49" xfId="0" applyAlignment="1" applyBorder="1" applyFont="1" applyNumberFormat="1">
      <alignment horizontal="center" shrinkToFit="0" vertical="center" wrapText="1"/>
    </xf>
    <xf borderId="5" fillId="4" fontId="6" numFmtId="165" xfId="0" applyAlignment="1" applyBorder="1" applyFont="1" applyNumberFormat="1">
      <alignment horizontal="center" readingOrder="0" shrinkToFit="0" vertical="center" wrapText="1"/>
    </xf>
    <xf borderId="5" fillId="4" fontId="11" numFmtId="49" xfId="0" applyAlignment="1" applyBorder="1" applyFont="1" applyNumberForma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10" fillId="5" fontId="6" numFmtId="0" xfId="0" applyAlignment="1" applyBorder="1" applyFill="1" applyFont="1">
      <alignment horizontal="center" vertical="center"/>
    </xf>
    <xf borderId="10" fillId="5" fontId="5" numFmtId="0" xfId="0" applyAlignment="1" applyBorder="1" applyFont="1">
      <alignment horizontal="center" vertical="center"/>
    </xf>
    <xf borderId="10" fillId="5" fontId="6" numFmtId="164" xfId="0" applyAlignment="1" applyBorder="1" applyFont="1" applyNumberFormat="1">
      <alignment horizontal="center" vertical="center"/>
    </xf>
    <xf borderId="10" fillId="5" fontId="6" numFmtId="0" xfId="0" applyAlignment="1" applyBorder="1" applyFont="1">
      <alignment horizontal="center" shrinkToFit="0" vertical="center" wrapText="1"/>
    </xf>
    <xf borderId="10" fillId="5" fontId="6" numFmtId="49" xfId="0" applyAlignment="1" applyBorder="1" applyFont="1" applyNumberFormat="1">
      <alignment horizontal="center" shrinkToFit="0" vertical="center" wrapText="1"/>
    </xf>
    <xf borderId="10" fillId="5" fontId="6" numFmtId="165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5" fillId="4" fontId="12" numFmtId="49" xfId="0" applyAlignment="1" applyBorder="1" applyFont="1" applyNumberFormat="1">
      <alignment horizontal="center" readingOrder="0" shrinkToFit="0" vertical="center" wrapText="1"/>
    </xf>
    <xf borderId="5" fillId="4" fontId="6" numFmtId="49" xfId="0" applyAlignment="1" applyBorder="1" applyFont="1" applyNumberFormat="1">
      <alignment horizontal="center" readingOrder="0" shrinkToFit="0" vertical="center" wrapText="1"/>
    </xf>
    <xf borderId="5" fillId="4" fontId="13" numFmtId="49" xfId="0" applyAlignment="1" applyBorder="1" applyFont="1" applyNumberFormat="1">
      <alignment horizontal="center" readingOrder="0" shrinkToFit="0" vertical="center" wrapText="1"/>
    </xf>
    <xf borderId="11" fillId="4" fontId="5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readingOrder="0" vertical="center"/>
    </xf>
    <xf borderId="11" fillId="4" fontId="6" numFmtId="164" xfId="0" applyAlignment="1" applyBorder="1" applyFont="1" applyNumberFormat="1">
      <alignment horizontal="center" readingOrder="0" vertical="center"/>
    </xf>
    <xf borderId="11" fillId="4" fontId="6" numFmtId="0" xfId="0" applyAlignment="1" applyBorder="1" applyFont="1">
      <alignment horizontal="center" shrinkToFit="0" vertical="center" wrapText="1"/>
    </xf>
    <xf borderId="11" fillId="4" fontId="6" numFmtId="49" xfId="0" applyAlignment="1" applyBorder="1" applyFont="1" applyNumberFormat="1">
      <alignment horizontal="center" shrinkToFit="0" vertical="center" wrapText="1"/>
    </xf>
    <xf borderId="11" fillId="4" fontId="6" numFmtId="165" xfId="0" applyAlignment="1" applyBorder="1" applyFont="1" applyNumberFormat="1">
      <alignment horizontal="center" shrinkToFit="0" vertical="center" wrapText="1"/>
    </xf>
    <xf borderId="11" fillId="4" fontId="14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>
        <b/>
        <color rgb="FF111111"/>
      </font>
      <fill>
        <patternFill patternType="solid">
          <fgColor rgb="FFEAD7A9"/>
          <bgColor rgb="FFEAD7A9"/>
        </patternFill>
      </fill>
      <border/>
    </dxf>
    <dxf>
      <font>
        <b/>
        <color rgb="FFFFFFFF"/>
      </font>
      <fill>
        <patternFill patternType="solid">
          <fgColor rgb="FF6B1F2A"/>
          <bgColor rgb="FF6B1F2A"/>
        </patternFill>
      </fill>
      <border/>
    </dxf>
    <dxf>
      <font>
        <color rgb="FF6B1F2A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Harlanitskt" TargetMode="External"/><Relationship Id="rId2" Type="http://schemas.openxmlformats.org/officeDocument/2006/relationships/hyperlink" Target="https://www.facebook.com/profile.php?id=61580310922568" TargetMode="External"/><Relationship Id="rId3" Type="http://schemas.openxmlformats.org/officeDocument/2006/relationships/hyperlink" Target="https://www.facebook.com/share/1JESFwpoLm/?mibextid=wwXIfr" TargetMode="External"/><Relationship Id="rId4" Type="http://schemas.openxmlformats.org/officeDocument/2006/relationships/hyperlink" Target="https://www.facebook.com/chang.hynh/" TargetMode="External"/><Relationship Id="rId5" Type="http://schemas.openxmlformats.org/officeDocument/2006/relationships/hyperlink" Target="https://www.facebook.com/share/1BTn6csj9C/" TargetMode="External"/><Relationship Id="rId6" Type="http://schemas.openxmlformats.org/officeDocument/2006/relationships/hyperlink" Target="https://www.facebook.com/share/14hzEJdYN8s/?mibextid=wwXIfr" TargetMode="External"/><Relationship Id="rId7" Type="http://schemas.openxmlformats.org/officeDocument/2006/relationships/hyperlink" Target="https://www.facebook.com/share/14tiYkWeDom/?mibextid=wwXIfr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18.0"/>
    <col customWidth="1" min="4" max="5" width="14.0"/>
    <col customWidth="1" min="6" max="6" width="20.0"/>
    <col customWidth="1" min="7" max="7" width="34.0"/>
    <col customWidth="1" min="8" max="8" width="32.0"/>
    <col customWidth="1" min="9" max="9" width="17.0"/>
    <col customWidth="1" min="10" max="10" width="28.0"/>
    <col customWidth="1" min="11" max="11" width="42.0"/>
    <col customWidth="1" min="12" max="26" width="8.63"/>
  </cols>
  <sheetData>
    <row r="1" ht="37.5" customHeight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ht="37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33.75" customHeight="1">
      <c r="A3" s="4" t="s">
        <v>12</v>
      </c>
      <c r="B3" s="5" t="s">
        <v>13</v>
      </c>
      <c r="C3" s="6" t="s">
        <v>14</v>
      </c>
      <c r="D3" s="7" t="s">
        <v>15</v>
      </c>
      <c r="E3" s="8">
        <v>39722.0</v>
      </c>
      <c r="F3" s="7" t="s">
        <v>16</v>
      </c>
      <c r="G3" s="9" t="s">
        <v>17</v>
      </c>
      <c r="H3" s="10" t="s">
        <v>18</v>
      </c>
      <c r="I3" s="13" t="str">
        <f>"0337957054"</f>
        <v>0337957054</v>
      </c>
      <c r="J3" s="17" t="s">
        <v>22</v>
      </c>
      <c r="K3" s="9"/>
    </row>
    <row r="4" ht="33.75" customHeight="1">
      <c r="A4" s="18"/>
      <c r="B4" s="19" t="s">
        <v>33</v>
      </c>
      <c r="C4" s="20" t="s">
        <v>24</v>
      </c>
      <c r="D4" s="21" t="s">
        <v>23</v>
      </c>
      <c r="E4" s="22">
        <v>40490.0</v>
      </c>
      <c r="F4" s="21" t="s">
        <v>34</v>
      </c>
      <c r="G4" s="23" t="s">
        <v>35</v>
      </c>
      <c r="H4" s="24" t="s">
        <v>36</v>
      </c>
      <c r="I4" s="25" t="s">
        <v>37</v>
      </c>
      <c r="J4" s="26" t="s">
        <v>38</v>
      </c>
      <c r="K4" s="27"/>
    </row>
    <row r="5" ht="33.75" customHeight="1">
      <c r="A5" s="28"/>
      <c r="B5" s="19" t="s">
        <v>39</v>
      </c>
      <c r="C5" s="20" t="s">
        <v>26</v>
      </c>
      <c r="D5" s="21" t="s">
        <v>23</v>
      </c>
      <c r="E5" s="22">
        <v>40215.0</v>
      </c>
      <c r="F5" s="21" t="s">
        <v>40</v>
      </c>
      <c r="G5" s="23" t="s">
        <v>41</v>
      </c>
      <c r="H5" s="24" t="s">
        <v>42</v>
      </c>
      <c r="I5" s="13" t="str">
        <f>"0981728595"</f>
        <v>0981728595</v>
      </c>
      <c r="J5" s="26" t="s">
        <v>43</v>
      </c>
      <c r="K5" s="27"/>
    </row>
    <row r="6" ht="12.0" customHeight="1">
      <c r="A6" s="29"/>
      <c r="B6" s="30"/>
      <c r="C6" s="29"/>
      <c r="D6" s="29"/>
      <c r="E6" s="31"/>
      <c r="F6" s="29"/>
      <c r="G6" s="32"/>
      <c r="H6" s="33"/>
      <c r="I6" s="34"/>
      <c r="J6" s="33"/>
      <c r="K6" s="32"/>
    </row>
    <row r="7" ht="33.75" customHeight="1">
      <c r="A7" s="35" t="s">
        <v>44</v>
      </c>
      <c r="B7" s="19" t="s">
        <v>45</v>
      </c>
      <c r="C7" s="20" t="s">
        <v>28</v>
      </c>
      <c r="D7" s="21" t="s">
        <v>23</v>
      </c>
      <c r="E7" s="22">
        <v>39653.0</v>
      </c>
      <c r="F7" s="21" t="s">
        <v>46</v>
      </c>
      <c r="G7" s="23" t="s">
        <v>47</v>
      </c>
      <c r="H7" s="24" t="s">
        <v>48</v>
      </c>
      <c r="I7" s="13" t="str">
        <f>"0767423243"</f>
        <v>0767423243</v>
      </c>
      <c r="J7" s="26" t="s">
        <v>49</v>
      </c>
      <c r="K7" s="23"/>
    </row>
    <row r="8" ht="12.0" customHeight="1">
      <c r="A8" s="29"/>
      <c r="B8" s="30"/>
      <c r="C8" s="29"/>
      <c r="D8" s="29"/>
      <c r="E8" s="31"/>
      <c r="F8" s="29"/>
      <c r="G8" s="32"/>
      <c r="H8" s="33"/>
      <c r="I8" s="34"/>
      <c r="J8" s="33"/>
      <c r="K8" s="32"/>
    </row>
    <row r="9" ht="33.75" customHeight="1">
      <c r="A9" s="35" t="s">
        <v>50</v>
      </c>
      <c r="B9" s="19" t="s">
        <v>51</v>
      </c>
      <c r="C9" s="20" t="s">
        <v>29</v>
      </c>
      <c r="D9" s="21" t="s">
        <v>23</v>
      </c>
      <c r="E9" s="22">
        <v>39590.0</v>
      </c>
      <c r="F9" s="21" t="s">
        <v>52</v>
      </c>
      <c r="G9" s="27" t="s">
        <v>53</v>
      </c>
      <c r="H9" s="24" t="s">
        <v>54</v>
      </c>
      <c r="I9" s="13" t="str">
        <f>"0362716002"</f>
        <v>0362716002</v>
      </c>
      <c r="J9" s="36" t="s">
        <v>55</v>
      </c>
      <c r="K9" s="23"/>
    </row>
    <row r="10" ht="12.0" customHeight="1">
      <c r="A10" s="29"/>
      <c r="B10" s="30"/>
      <c r="C10" s="29"/>
      <c r="D10" s="29"/>
      <c r="E10" s="31"/>
      <c r="F10" s="29"/>
      <c r="G10" s="32"/>
      <c r="H10" s="33"/>
      <c r="I10" s="34"/>
      <c r="J10" s="33"/>
      <c r="K10" s="32"/>
    </row>
    <row r="11" ht="33.75" customHeight="1">
      <c r="A11" s="35" t="s">
        <v>56</v>
      </c>
      <c r="B11" s="19" t="s">
        <v>57</v>
      </c>
      <c r="C11" s="20" t="s">
        <v>30</v>
      </c>
      <c r="D11" s="21" t="s">
        <v>23</v>
      </c>
      <c r="E11" s="22">
        <v>39968.0</v>
      </c>
      <c r="F11" s="21" t="s">
        <v>58</v>
      </c>
      <c r="G11" s="27" t="s">
        <v>59</v>
      </c>
      <c r="H11" s="37" t="s">
        <v>60</v>
      </c>
      <c r="I11" s="25">
        <v>3.7514251E8</v>
      </c>
      <c r="J11" s="38" t="s">
        <v>61</v>
      </c>
      <c r="K11" s="23"/>
    </row>
    <row r="12" ht="12.0" customHeight="1">
      <c r="A12" s="29"/>
      <c r="B12" s="30"/>
      <c r="C12" s="29"/>
      <c r="D12" s="29"/>
      <c r="E12" s="31"/>
      <c r="F12" s="29"/>
      <c r="G12" s="32"/>
      <c r="H12" s="33"/>
      <c r="I12" s="34"/>
      <c r="J12" s="33"/>
      <c r="K12" s="32"/>
    </row>
    <row r="13" ht="33.75" customHeight="1">
      <c r="A13" s="35" t="s">
        <v>62</v>
      </c>
      <c r="B13" s="19" t="s">
        <v>63</v>
      </c>
      <c r="C13" s="20" t="s">
        <v>31</v>
      </c>
      <c r="D13" s="21" t="s">
        <v>15</v>
      </c>
      <c r="E13" s="22">
        <v>39059.0</v>
      </c>
      <c r="F13" s="21" t="s">
        <v>64</v>
      </c>
      <c r="G13" s="23" t="s">
        <v>65</v>
      </c>
      <c r="H13" s="24" t="s">
        <v>66</v>
      </c>
      <c r="I13" s="13" t="str">
        <f>"0393081206"</f>
        <v>0393081206</v>
      </c>
      <c r="J13" s="38" t="s">
        <v>67</v>
      </c>
      <c r="K13" s="23"/>
    </row>
    <row r="14" ht="12.0" customHeight="1">
      <c r="A14" s="29"/>
      <c r="B14" s="30"/>
      <c r="C14" s="29"/>
      <c r="D14" s="29"/>
      <c r="E14" s="31"/>
      <c r="F14" s="29"/>
      <c r="G14" s="32"/>
      <c r="H14" s="33"/>
      <c r="I14" s="34"/>
      <c r="J14" s="33"/>
      <c r="K14" s="32"/>
    </row>
    <row r="15" ht="33.75" customHeight="1">
      <c r="A15" s="35" t="s">
        <v>68</v>
      </c>
      <c r="B15" s="39" t="s">
        <v>69</v>
      </c>
      <c r="C15" s="40" t="s">
        <v>32</v>
      </c>
      <c r="D15" s="41" t="s">
        <v>23</v>
      </c>
      <c r="E15" s="42">
        <v>40257.0</v>
      </c>
      <c r="F15" s="41" t="s">
        <v>70</v>
      </c>
      <c r="G15" s="43" t="s">
        <v>71</v>
      </c>
      <c r="H15" s="44" t="s">
        <v>72</v>
      </c>
      <c r="I15" s="45" t="str">
        <f>"0777078913"</f>
        <v>0777078913</v>
      </c>
      <c r="J15" s="46" t="s">
        <v>73</v>
      </c>
      <c r="K15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K1"/>
    <mergeCell ref="A3:A5"/>
  </mergeCells>
  <conditionalFormatting sqref="C3:C15">
    <cfRule type="containsText" dxfId="0" priority="1" operator="containsText" text="Founder">
      <formula>NOT(ISERROR(SEARCH(("Founder"),(C3))))</formula>
    </cfRule>
  </conditionalFormatting>
  <conditionalFormatting sqref="C3:C15">
    <cfRule type="containsText" dxfId="0" priority="2" operator="containsText" text="President">
      <formula>NOT(ISERROR(SEARCH(("President"),(C3))))</formula>
    </cfRule>
  </conditionalFormatting>
  <conditionalFormatting sqref="C3:C15">
    <cfRule type="containsText" dxfId="1" priority="3" operator="containsText" text="Core">
      <formula>NOT(ISERROR(SEARCH(("Core"),(C3))))</formula>
    </cfRule>
  </conditionalFormatting>
  <conditionalFormatting sqref="D3:D5">
    <cfRule type="containsBlanks" dxfId="2" priority="4">
      <formula>LEN(TRIM(D3))=0</formula>
    </cfRule>
  </conditionalFormatting>
  <conditionalFormatting sqref="E3:E5">
    <cfRule type="containsBlanks" dxfId="2" priority="5">
      <formula>LEN(TRIM(E3))=0</formula>
    </cfRule>
  </conditionalFormatting>
  <conditionalFormatting sqref="F3:F5">
    <cfRule type="containsBlanks" dxfId="2" priority="6">
      <formula>LEN(TRIM(F3))=0</formula>
    </cfRule>
  </conditionalFormatting>
  <conditionalFormatting sqref="J3:J5">
    <cfRule type="containsBlanks" dxfId="2" priority="7">
      <formula>LEN(TRIM(J3))=0</formula>
    </cfRule>
  </conditionalFormatting>
  <conditionalFormatting sqref="D7">
    <cfRule type="containsBlanks" dxfId="2" priority="8">
      <formula>LEN(TRIM(D7))=0</formula>
    </cfRule>
  </conditionalFormatting>
  <conditionalFormatting sqref="E7">
    <cfRule type="containsBlanks" dxfId="2" priority="9">
      <formula>LEN(TRIM(E7))=0</formula>
    </cfRule>
  </conditionalFormatting>
  <conditionalFormatting sqref="F7">
    <cfRule type="containsBlanks" dxfId="2" priority="10">
      <formula>LEN(TRIM(F7))=0</formula>
    </cfRule>
  </conditionalFormatting>
  <conditionalFormatting sqref="J7">
    <cfRule type="containsBlanks" dxfId="2" priority="11">
      <formula>LEN(TRIM(J7))=0</formula>
    </cfRule>
  </conditionalFormatting>
  <conditionalFormatting sqref="D9">
    <cfRule type="containsBlanks" dxfId="2" priority="12">
      <formula>LEN(TRIM(D9))=0</formula>
    </cfRule>
  </conditionalFormatting>
  <conditionalFormatting sqref="E9">
    <cfRule type="containsBlanks" dxfId="2" priority="13">
      <formula>LEN(TRIM(E9))=0</formula>
    </cfRule>
  </conditionalFormatting>
  <conditionalFormatting sqref="F9">
    <cfRule type="containsBlanks" dxfId="2" priority="14">
      <formula>LEN(TRIM(F9))=0</formula>
    </cfRule>
  </conditionalFormatting>
  <conditionalFormatting sqref="J9">
    <cfRule type="containsBlanks" dxfId="2" priority="15">
      <formula>LEN(TRIM(J9))=0</formula>
    </cfRule>
  </conditionalFormatting>
  <conditionalFormatting sqref="D11">
    <cfRule type="containsBlanks" dxfId="2" priority="16">
      <formula>LEN(TRIM(D11))=0</formula>
    </cfRule>
  </conditionalFormatting>
  <conditionalFormatting sqref="E11">
    <cfRule type="containsBlanks" dxfId="2" priority="17">
      <formula>LEN(TRIM(E11))=0</formula>
    </cfRule>
  </conditionalFormatting>
  <conditionalFormatting sqref="F11">
    <cfRule type="containsBlanks" dxfId="2" priority="18">
      <formula>LEN(TRIM(F11))=0</formula>
    </cfRule>
  </conditionalFormatting>
  <conditionalFormatting sqref="J11">
    <cfRule type="containsBlanks" dxfId="2" priority="19">
      <formula>LEN(TRIM(J11))=0</formula>
    </cfRule>
  </conditionalFormatting>
  <conditionalFormatting sqref="D13">
    <cfRule type="containsBlanks" dxfId="2" priority="20">
      <formula>LEN(TRIM(D13))=0</formula>
    </cfRule>
  </conditionalFormatting>
  <conditionalFormatting sqref="E13">
    <cfRule type="containsBlanks" dxfId="2" priority="21">
      <formula>LEN(TRIM(E13))=0</formula>
    </cfRule>
  </conditionalFormatting>
  <conditionalFormatting sqref="F13">
    <cfRule type="containsBlanks" dxfId="2" priority="22">
      <formula>LEN(TRIM(F13))=0</formula>
    </cfRule>
  </conditionalFormatting>
  <conditionalFormatting sqref="J13">
    <cfRule type="containsBlanks" dxfId="2" priority="23">
      <formula>LEN(TRIM(J13))=0</formula>
    </cfRule>
  </conditionalFormatting>
  <conditionalFormatting sqref="D15">
    <cfRule type="containsBlanks" dxfId="2" priority="24">
      <formula>LEN(TRIM(D15))=0</formula>
    </cfRule>
  </conditionalFormatting>
  <conditionalFormatting sqref="E15">
    <cfRule type="containsBlanks" dxfId="2" priority="25">
      <formula>LEN(TRIM(E15))=0</formula>
    </cfRule>
  </conditionalFormatting>
  <conditionalFormatting sqref="F15">
    <cfRule type="containsBlanks" dxfId="2" priority="26">
      <formula>LEN(TRIM(F15))=0</formula>
    </cfRule>
  </conditionalFormatting>
  <conditionalFormatting sqref="J15">
    <cfRule type="containsBlanks" dxfId="2" priority="27">
      <formula>LEN(TRIM(J15))=0</formula>
    </cfRule>
  </conditionalFormatting>
  <dataValidations>
    <dataValidation type="list" allowBlank="1" sqref="D3:D5 D7 D9 D11 D13 D15">
      <formula1>'DANH MỤC'!$A$2:$A$5</formula1>
    </dataValidation>
    <dataValidation type="list" allowBlank="1" sqref="C3:C5 C7 C9 C11 C13 C15">
      <formula1>'DANH MỤC'!$B$2:$B$9</formula1>
    </dataValidation>
  </dataValidations>
  <hyperlinks>
    <hyperlink r:id="rId1" ref="J3"/>
    <hyperlink r:id="rId2" ref="J4"/>
    <hyperlink r:id="rId3" ref="J5"/>
    <hyperlink r:id="rId4" ref="J7"/>
    <hyperlink r:id="rId5" ref="J11"/>
    <hyperlink r:id="rId6" ref="J13"/>
    <hyperlink r:id="rId7" ref="J15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0"/>
    <col customWidth="1" min="3" max="26" width="8.63"/>
  </cols>
  <sheetData>
    <row r="1" ht="30.0" customHeight="1">
      <c r="A1" s="11" t="s">
        <v>19</v>
      </c>
    </row>
    <row r="3">
      <c r="A3" s="12" t="s">
        <v>20</v>
      </c>
      <c r="B3" s="12" t="s">
        <v>21</v>
      </c>
    </row>
    <row r="4">
      <c r="A4" s="14" t="s">
        <v>15</v>
      </c>
      <c r="B4" s="14" t="s">
        <v>14</v>
      </c>
    </row>
    <row r="5">
      <c r="A5" s="15" t="s">
        <v>23</v>
      </c>
      <c r="B5" s="15" t="s">
        <v>24</v>
      </c>
    </row>
    <row r="6">
      <c r="A6" s="15" t="s">
        <v>25</v>
      </c>
      <c r="B6" s="15" t="s">
        <v>26</v>
      </c>
    </row>
    <row r="7">
      <c r="A7" s="15" t="s">
        <v>27</v>
      </c>
      <c r="B7" s="15" t="s">
        <v>28</v>
      </c>
    </row>
    <row r="8">
      <c r="A8" s="15"/>
      <c r="B8" s="15" t="s">
        <v>29</v>
      </c>
    </row>
    <row r="9">
      <c r="A9" s="15"/>
      <c r="B9" s="15" t="s">
        <v>30</v>
      </c>
    </row>
    <row r="10">
      <c r="A10" s="15"/>
      <c r="B10" s="15" t="s">
        <v>31</v>
      </c>
    </row>
    <row r="11">
      <c r="A11" s="16"/>
      <c r="B11" s="16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